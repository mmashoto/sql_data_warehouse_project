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ersonal\sql\sql_data_warehouse_project\docs\"/>
    </mc:Choice>
  </mc:AlternateContent>
  <xr:revisionPtr revIDLastSave="0" documentId="8_{F177C969-321D-4572-9BF8-48128F6EC324}" xr6:coauthVersionLast="47" xr6:coauthVersionMax="47" xr10:uidLastSave="{00000000-0000-0000-0000-000000000000}"/>
  <bookViews>
    <workbookView xWindow="-120" yWindow="-120" windowWidth="20730" windowHeight="11760" xr2:uid="{451E5860-C116-4C1E-A29B-5563DA82D629}"/>
  </bookViews>
  <sheets>
    <sheet name="change_log" sheetId="1" r:id="rId1"/>
    <sheet name="Sheet1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3" i="1"/>
  <c r="G12" i="1"/>
  <c r="G11" i="1"/>
  <c r="G8" i="1"/>
  <c r="G10" i="1"/>
  <c r="G9" i="1"/>
  <c r="G3" i="1"/>
  <c r="G4" i="1"/>
  <c r="G5" i="1"/>
  <c r="G6" i="1"/>
  <c r="G7" i="1"/>
</calcChain>
</file>

<file path=xl/sharedStrings.xml><?xml version="1.0" encoding="utf-8"?>
<sst xmlns="http://schemas.openxmlformats.org/spreadsheetml/2006/main" count="117" uniqueCount="70">
  <si>
    <t>issue_id</t>
  </si>
  <si>
    <t>table_name</t>
  </si>
  <si>
    <t>column_name</t>
  </si>
  <si>
    <t>BRONZE LAYER</t>
  </si>
  <si>
    <t>issue_description</t>
  </si>
  <si>
    <t>issue_count</t>
  </si>
  <si>
    <t>magnitude</t>
  </si>
  <si>
    <t>resolved(y/n)</t>
  </si>
  <si>
    <t>resolution_description</t>
  </si>
  <si>
    <t>bronze.crm_cust_info</t>
  </si>
  <si>
    <t>cst_firstname</t>
  </si>
  <si>
    <t>cst_lastname</t>
  </si>
  <si>
    <t>Unwanted spaces in the string values</t>
  </si>
  <si>
    <t>y</t>
  </si>
  <si>
    <t>cst_gndr</t>
  </si>
  <si>
    <t>bronze.crm_prd_info</t>
  </si>
  <si>
    <t>prd_key</t>
  </si>
  <si>
    <t>prd_cost</t>
  </si>
  <si>
    <t>prd_line</t>
  </si>
  <si>
    <t>prd_start_dt &amp; prd_end_dt</t>
  </si>
  <si>
    <t>End date is earliear than the start date</t>
  </si>
  <si>
    <t>Inaccurate data type</t>
  </si>
  <si>
    <t>cst_martial_status</t>
  </si>
  <si>
    <t>cst_id</t>
  </si>
  <si>
    <t>Abbrreviated terms  (not clear or meaningful) --&gt;&gt; F,M, NULL</t>
  </si>
  <si>
    <t>Abbrreviated terms  (not clear or meaningful) --&gt;&gt; S&amp; M</t>
  </si>
  <si>
    <t>Abbrreviated terms  (not clear or meaningful) --&gt;&gt; M, R, T&amp; S</t>
  </si>
  <si>
    <r>
      <t xml:space="preserve">Data Normalisation&amp; Standardization: used the fuction </t>
    </r>
    <r>
      <rPr>
        <sz val="11"/>
        <color rgb="FFC00000"/>
        <rFont val="Arial"/>
        <family val="2"/>
      </rPr>
      <t>CASE WHEN</t>
    </r>
    <r>
      <rPr>
        <sz val="11"/>
        <color theme="1"/>
        <rFont val="Arial"/>
        <family val="2"/>
      </rPr>
      <t xml:space="preserve">, together with </t>
    </r>
    <r>
      <rPr>
        <sz val="11"/>
        <color rgb="FFC00000"/>
        <rFont val="Arial"/>
        <family val="2"/>
      </rPr>
      <t>UPPPER()</t>
    </r>
    <r>
      <rPr>
        <sz val="11"/>
        <color theme="1"/>
        <rFont val="Arial"/>
        <family val="2"/>
      </rPr>
      <t xml:space="preserve"> (mixed-case values) and </t>
    </r>
    <r>
      <rPr>
        <sz val="11"/>
        <color rgb="FFC00000"/>
        <rFont val="Arial"/>
        <family val="2"/>
      </rPr>
      <t>TRIM()</t>
    </r>
    <r>
      <rPr>
        <sz val="11"/>
        <color theme="1"/>
        <rFont val="Arial"/>
        <family val="2"/>
      </rPr>
      <t xml:space="preserve"> to map coded values to meangful, user-friendly description.</t>
    </r>
  </si>
  <si>
    <r>
      <t xml:space="preserve">Augmentation: Use the fuction </t>
    </r>
    <r>
      <rPr>
        <sz val="11"/>
        <color rgb="FFC00000"/>
        <rFont val="Arial"/>
        <family val="2"/>
      </rPr>
      <t>SUBSTRING(), REPLACE()</t>
    </r>
    <r>
      <rPr>
        <sz val="11"/>
        <color theme="1"/>
        <rFont val="Arial"/>
        <family val="2"/>
      </rPr>
      <t xml:space="preserve"> and LEN() to extract and derive a new column </t>
    </r>
    <r>
      <rPr>
        <sz val="11"/>
        <color theme="1"/>
        <rFont val="Cascadia Code SemiLight"/>
        <family val="3"/>
      </rPr>
      <t xml:space="preserve">prd_key </t>
    </r>
    <r>
      <rPr>
        <sz val="11"/>
        <color theme="1"/>
        <rFont val="Arial"/>
        <family val="2"/>
      </rPr>
      <t xml:space="preserve">and make sure the ERP &amp; CRM are the same </t>
    </r>
  </si>
  <si>
    <r>
      <t>Used the function</t>
    </r>
    <r>
      <rPr>
        <sz val="11"/>
        <color rgb="FFC00000"/>
        <rFont val="Arial"/>
        <family val="2"/>
      </rPr>
      <t xml:space="preserve"> ISNULL() </t>
    </r>
    <r>
      <rPr>
        <sz val="11"/>
        <color theme="1"/>
        <rFont val="Arial"/>
        <family val="2"/>
      </rPr>
      <t xml:space="preserve">or </t>
    </r>
    <r>
      <rPr>
        <sz val="11"/>
        <color rgb="FFC00000"/>
        <rFont val="Arial"/>
        <family val="2"/>
      </rPr>
      <t>COALESCE()</t>
    </r>
    <r>
      <rPr>
        <sz val="11"/>
        <color theme="1"/>
        <rFont val="Arial"/>
        <family val="2"/>
      </rPr>
      <t xml:space="preserve"> to replcace the NULLS with 0</t>
    </r>
  </si>
  <si>
    <r>
      <t xml:space="preserve">Data Enrichment : derived the End date from the Start date, where the end date = start date of the 'NEXT' record </t>
    </r>
    <r>
      <rPr>
        <sz val="11"/>
        <color rgb="FFC00000"/>
        <rFont val="Arial"/>
        <family val="2"/>
      </rPr>
      <t>- 1</t>
    </r>
    <r>
      <rPr>
        <sz val="11"/>
        <color theme="1"/>
        <rFont val="Arial"/>
        <family val="2"/>
      </rPr>
      <t>. The window function</t>
    </r>
    <r>
      <rPr>
        <sz val="11"/>
        <color rgb="FFC00000"/>
        <rFont val="Arial"/>
        <family val="2"/>
      </rPr>
      <t xml:space="preserve"> LEAD() </t>
    </r>
    <r>
      <rPr>
        <sz val="11"/>
        <color theme="1"/>
        <rFont val="Arial"/>
        <family val="2"/>
      </rPr>
      <t xml:space="preserve">was used where the </t>
    </r>
    <r>
      <rPr>
        <sz val="11"/>
        <color theme="1"/>
        <rFont val="Cascadia Mono Light"/>
        <family val="3"/>
      </rPr>
      <t>prd_key</t>
    </r>
    <r>
      <rPr>
        <sz val="11"/>
        <color theme="1"/>
        <rFont val="Arial"/>
        <family val="2"/>
      </rPr>
      <t xml:space="preserve"> was partioned. </t>
    </r>
  </si>
  <si>
    <r>
      <t xml:space="preserve">Data Tranformation: Use the fuction </t>
    </r>
    <r>
      <rPr>
        <sz val="11"/>
        <color rgb="FFFF0000"/>
        <rFont val="Arial"/>
        <family val="2"/>
      </rPr>
      <t>CAST</t>
    </r>
    <r>
      <rPr>
        <sz val="11"/>
        <color theme="1"/>
        <rFont val="Arial"/>
        <family val="2"/>
      </rPr>
      <t xml:space="preserve"> to change the data type from DATETIME to DATE in order to repair the ddl script</t>
    </r>
  </si>
  <si>
    <r>
      <rPr>
        <b/>
        <sz val="11"/>
        <color theme="1"/>
        <rFont val="Arial"/>
        <family val="2"/>
      </rPr>
      <t>Data Consistency</t>
    </r>
    <r>
      <rPr>
        <sz val="11"/>
        <color theme="1"/>
        <rFont val="Arial"/>
        <family val="2"/>
      </rPr>
      <t xml:space="preserve">: Used the function </t>
    </r>
    <r>
      <rPr>
        <b/>
        <sz val="11"/>
        <color rgb="FFC00000"/>
        <rFont val="Arial"/>
        <family val="2"/>
      </rPr>
      <t>TRIM()</t>
    </r>
    <r>
      <rPr>
        <sz val="11"/>
        <color theme="1"/>
        <rFont val="Arial"/>
        <family val="2"/>
      </rPr>
      <t xml:space="preserve"> to remove trailing and leading spaces from the string values to ensure data consistency and uniformity across all records.</t>
    </r>
  </si>
  <si>
    <r>
      <rPr>
        <b/>
        <sz val="11"/>
        <color theme="1"/>
        <rFont val="Arial"/>
        <family val="2"/>
      </rPr>
      <t>Remove NULLS:</t>
    </r>
    <r>
      <rPr>
        <sz val="11"/>
        <color theme="1"/>
        <rFont val="Arial"/>
        <family val="2"/>
      </rPr>
      <t xml:space="preserve"> Used the Window function</t>
    </r>
    <r>
      <rPr>
        <b/>
        <sz val="11"/>
        <color rgb="FFC00000"/>
        <rFont val="Arial"/>
        <family val="2"/>
      </rPr>
      <t xml:space="preserve"> ROW NUMBER()</t>
    </r>
    <r>
      <rPr>
        <sz val="11"/>
        <color theme="1"/>
        <rFont val="Arial"/>
        <family val="2"/>
      </rPr>
      <t xml:space="preserve"> to ensure only one record per entity by identifying and retaining the most relevant row.</t>
    </r>
  </si>
  <si>
    <r>
      <rPr>
        <b/>
        <sz val="11"/>
        <color theme="1"/>
        <rFont val="Arial"/>
        <family val="2"/>
      </rPr>
      <t>Remove Duplicates:</t>
    </r>
    <r>
      <rPr>
        <sz val="11"/>
        <color theme="1"/>
        <rFont val="Arial"/>
        <family val="2"/>
      </rPr>
      <t xml:space="preserve"> Used the Window function</t>
    </r>
    <r>
      <rPr>
        <sz val="11"/>
        <color rgb="FFC00000"/>
        <rFont val="Arial"/>
        <family val="2"/>
      </rPr>
      <t xml:space="preserve"> </t>
    </r>
    <r>
      <rPr>
        <b/>
        <sz val="11"/>
        <color rgb="FFC00000"/>
        <rFont val="Arial"/>
        <family val="2"/>
      </rPr>
      <t>ROW NUMBER()</t>
    </r>
    <r>
      <rPr>
        <sz val="11"/>
        <color theme="1"/>
        <rFont val="Arial"/>
        <family val="2"/>
      </rPr>
      <t xml:space="preserve"> to ensure only one record per entity by identifying and retaining the most relevant row.</t>
    </r>
  </si>
  <si>
    <r>
      <rPr>
        <b/>
        <sz val="11"/>
        <color theme="1"/>
        <rFont val="Arial"/>
        <family val="2"/>
      </rPr>
      <t>Data Normalisation&amp; Standardization:</t>
    </r>
    <r>
      <rPr>
        <sz val="11"/>
        <color theme="1"/>
        <rFont val="Arial"/>
        <family val="2"/>
      </rPr>
      <t xml:space="preserve"> used the fuction </t>
    </r>
    <r>
      <rPr>
        <b/>
        <sz val="11"/>
        <color rgb="FFC00000"/>
        <rFont val="Arial"/>
        <family val="2"/>
      </rPr>
      <t>CASE WHEN</t>
    </r>
    <r>
      <rPr>
        <sz val="11"/>
        <color theme="1"/>
        <rFont val="Arial"/>
        <family val="2"/>
      </rPr>
      <t xml:space="preserve">, together with </t>
    </r>
    <r>
      <rPr>
        <b/>
        <sz val="11"/>
        <color rgb="FFC00000"/>
        <rFont val="Arial"/>
        <family val="2"/>
      </rPr>
      <t>UPPER()</t>
    </r>
    <r>
      <rPr>
        <sz val="11"/>
        <color theme="1"/>
        <rFont val="Arial"/>
        <family val="2"/>
      </rPr>
      <t xml:space="preserve"> (mixed-case values) and </t>
    </r>
    <r>
      <rPr>
        <b/>
        <sz val="11"/>
        <color rgb="FFC00000"/>
        <rFont val="Arial"/>
        <family val="2"/>
      </rPr>
      <t>TRIM()</t>
    </r>
    <r>
      <rPr>
        <sz val="11"/>
        <color theme="1"/>
        <rFont val="Arial"/>
        <family val="2"/>
      </rPr>
      <t xml:space="preserve"> to map coded values to meangful, user-friendly description.</t>
    </r>
  </si>
  <si>
    <r>
      <rPr>
        <b/>
        <sz val="11"/>
        <color theme="1"/>
        <rFont val="Arial"/>
        <family val="2"/>
      </rPr>
      <t>Data Normalisation&amp; Standardization:</t>
    </r>
    <r>
      <rPr>
        <sz val="11"/>
        <color theme="1"/>
        <rFont val="Arial"/>
        <family val="2"/>
      </rPr>
      <t xml:space="preserve"> used the fuction</t>
    </r>
    <r>
      <rPr>
        <sz val="11"/>
        <color rgb="FFC00000"/>
        <rFont val="Arial"/>
        <family val="2"/>
      </rPr>
      <t xml:space="preserve"> </t>
    </r>
    <r>
      <rPr>
        <b/>
        <sz val="11"/>
        <color rgb="FFC00000"/>
        <rFont val="Arial"/>
        <family val="2"/>
      </rPr>
      <t>CASE WHEN</t>
    </r>
    <r>
      <rPr>
        <b/>
        <sz val="11"/>
        <color rgb="FFFF0000"/>
        <rFont val="Arial"/>
        <family val="2"/>
      </rPr>
      <t>,</t>
    </r>
    <r>
      <rPr>
        <sz val="11"/>
        <color theme="1"/>
        <rFont val="Arial"/>
        <family val="2"/>
      </rPr>
      <t xml:space="preserve"> together with </t>
    </r>
    <r>
      <rPr>
        <b/>
        <sz val="11"/>
        <color rgb="FFC00000"/>
        <rFont val="Arial"/>
        <family val="2"/>
      </rPr>
      <t>UPPER()</t>
    </r>
    <r>
      <rPr>
        <sz val="11"/>
        <color theme="1"/>
        <rFont val="Arial"/>
        <family val="2"/>
      </rPr>
      <t xml:space="preserve"> (mixed-case values) and </t>
    </r>
    <r>
      <rPr>
        <b/>
        <sz val="11"/>
        <color rgb="FFC00000"/>
        <rFont val="Arial"/>
        <family val="2"/>
      </rPr>
      <t>TRIM()</t>
    </r>
    <r>
      <rPr>
        <sz val="11"/>
        <color theme="1"/>
        <rFont val="Arial"/>
        <family val="2"/>
      </rPr>
      <t xml:space="preserve"> to map coded values to meangful, user-friendly description.</t>
    </r>
  </si>
  <si>
    <t>Duplicates found in primary key</t>
  </si>
  <si>
    <t>Null values found in primary  key</t>
  </si>
  <si>
    <r>
      <rPr>
        <b/>
        <sz val="11"/>
        <color theme="1"/>
        <rFont val="Arial"/>
        <family val="2"/>
      </rPr>
      <t>Augmentation</t>
    </r>
    <r>
      <rPr>
        <sz val="11"/>
        <color theme="1"/>
        <rFont val="Arial"/>
        <family val="2"/>
      </rPr>
      <t>: Use the function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rgb="FFC00000"/>
        <rFont val="Arial"/>
        <family val="2"/>
      </rPr>
      <t>SUBSTRING()</t>
    </r>
    <r>
      <rPr>
        <sz val="11"/>
        <color rgb="FFC00000"/>
        <rFont val="Arial"/>
        <family val="2"/>
      </rPr>
      <t xml:space="preserve"> </t>
    </r>
    <r>
      <rPr>
        <sz val="11"/>
        <color theme="1"/>
        <rFont val="Arial"/>
        <family val="2"/>
      </rPr>
      <t>and</t>
    </r>
    <r>
      <rPr>
        <b/>
        <sz val="11"/>
        <color rgb="FFC00000"/>
        <rFont val="Arial"/>
        <family val="2"/>
      </rPr>
      <t xml:space="preserve"> REPLACE()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to extract  and derive a new column </t>
    </r>
    <r>
      <rPr>
        <sz val="11"/>
        <color theme="1"/>
        <rFont val="Cascadia Code SemiLight"/>
        <family val="3"/>
      </rPr>
      <t xml:space="preserve">cat_id </t>
    </r>
    <r>
      <rPr>
        <sz val="11"/>
        <color theme="1"/>
        <rFont val="Arial"/>
        <family val="2"/>
      </rPr>
      <t>and make sure the values in the ERP &amp; CRM are always consistent</t>
    </r>
  </si>
  <si>
    <t>prd_key not joinable to other tables</t>
  </si>
  <si>
    <t>Y</t>
  </si>
  <si>
    <t>Null values for cost</t>
  </si>
  <si>
    <t>prd_id</t>
  </si>
  <si>
    <t>prd_nm</t>
  </si>
  <si>
    <t>prd_start_dt</t>
  </si>
  <si>
    <t>prd_end_dt</t>
  </si>
  <si>
    <t>AC-HE-HL-U509-B</t>
  </si>
  <si>
    <t>Sport-100 Helmet- Blue</t>
  </si>
  <si>
    <t xml:space="preserve">S </t>
  </si>
  <si>
    <t>NULL</t>
  </si>
  <si>
    <t>CL-CA-CA-1098</t>
  </si>
  <si>
    <t>AWC Logo Cap</t>
  </si>
  <si>
    <t>Solution 1 : Switch the start_date with the end_date</t>
  </si>
  <si>
    <t>Solution 2: Derive the end_dated from the start_date</t>
  </si>
  <si>
    <t>6/31/2012</t>
  </si>
  <si>
    <t>6/31/2013</t>
  </si>
  <si>
    <t>end_date = start_date of the 'NEXT' record -1</t>
  </si>
  <si>
    <t>Issue with Solution 1: The data is nonsensensical as the dates are now overlapping</t>
  </si>
  <si>
    <t>bronze.crm_sales_details</t>
  </si>
  <si>
    <t>sls_order_dt, sls_ship_dt &amp; sls_due_dt</t>
  </si>
  <si>
    <t>incaccurate data type</t>
  </si>
  <si>
    <t>all columns</t>
  </si>
  <si>
    <t>Data Transformation: Use the function CAST() to convert the dates into a VARCHAR then to a DATE</t>
  </si>
  <si>
    <t>Use the function NULLIF() or COALESCE() to convert the 0 dates into NULLS</t>
  </si>
  <si>
    <t xml:space="preserve">Some dates are 0, and </t>
  </si>
  <si>
    <t>sls_sales, sls_quantity &amp; sls_price</t>
  </si>
  <si>
    <t>Sales = Quantity * Price. These columns have bad data, bad nonsensical calculations and combination some values are equals to 0, NULLS or are</t>
  </si>
  <si>
    <t>if sales is negative, zero, or null, derive it using quantity and price; if price is zero, null, calculate it using sales and quantity; if price is negative, convert to a positive number.</t>
  </si>
  <si>
    <t>CRM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</si>
</sst>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20"/>
      <color theme="0"/>
      <name val="Amasis MT Pro Black"/>
      <family val="1"/>
    </font>
    <font>
      <b/>
      <sz val="11"/>
      <color rgb="FFFF0000"/>
      <name val="Arial"/>
      <family val="2"/>
    </font>
    <font>
      <b/>
      <sz val="11"/>
      <color rgb="FFC00000"/>
      <name val="Arial"/>
      <family val="2"/>
    </font>
    <font>
      <sz val="11"/>
      <color rgb="FFC00000"/>
      <name val="Arial"/>
      <family val="2"/>
    </font>
    <font>
      <sz val="11"/>
      <color theme="1"/>
      <name val="Cascadia Code SemiLight"/>
      <family val="3"/>
    </font>
    <font>
      <sz val="11"/>
      <color theme="1"/>
      <name val="Cascadia Mono Light"/>
      <family val="3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9" tint="-0.499984740745262"/>
      <name val="Arial"/>
      <family val="2"/>
    </font>
    <font>
      <sz val="11"/>
      <color theme="3"/>
      <name val="Arial"/>
      <family val="2"/>
    </font>
    <font>
      <b/>
      <sz val="20"/>
      <color theme="1"/>
      <name val="Amasis MT Pro Black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Font="1"/>
    <xf numFmtId="0" fontId="0" fillId="0" borderId="1" xfId="0" applyFont="1" applyBorder="1"/>
    <xf numFmtId="0" fontId="0" fillId="0" borderId="2" xfId="0" applyFont="1" applyBorder="1"/>
    <xf numFmtId="0" fontId="0" fillId="0" borderId="2" xfId="0" applyFont="1" applyBorder="1" applyAlignment="1">
      <alignment wrapText="1"/>
    </xf>
    <xf numFmtId="0" fontId="0" fillId="0" borderId="4" xfId="0" applyFont="1" applyBorder="1"/>
    <xf numFmtId="0" fontId="0" fillId="0" borderId="2" xfId="0" applyFont="1" applyFill="1" applyBorder="1"/>
    <xf numFmtId="0" fontId="0" fillId="0" borderId="2" xfId="0" applyFont="1" applyFill="1" applyBorder="1" applyAlignment="1">
      <alignment wrapText="1"/>
    </xf>
    <xf numFmtId="10" fontId="0" fillId="0" borderId="2" xfId="1" applyNumberFormat="1" applyFont="1" applyBorder="1"/>
    <xf numFmtId="10" fontId="0" fillId="0" borderId="0" xfId="1" applyNumberFormat="1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4" xfId="0" applyFont="1" applyBorder="1" applyAlignment="1">
      <alignment horizontal="center" vertical="center" textRotation="90"/>
    </xf>
    <xf numFmtId="0" fontId="0" fillId="0" borderId="5" xfId="0" applyFont="1" applyBorder="1" applyAlignment="1">
      <alignment horizontal="center" vertical="center" textRotation="90"/>
    </xf>
    <xf numFmtId="0" fontId="0" fillId="0" borderId="2" xfId="0" applyFont="1" applyBorder="1" applyAlignment="1">
      <alignment horizontal="center" vertical="center" textRotation="90"/>
    </xf>
    <xf numFmtId="0" fontId="0" fillId="0" borderId="6" xfId="0" applyFont="1" applyBorder="1" applyAlignment="1">
      <alignment horizontal="center" vertical="center" textRotation="90"/>
    </xf>
    <xf numFmtId="14" fontId="5" fillId="3" borderId="0" xfId="0" applyNumberFormat="1" applyFont="1" applyFill="1"/>
    <xf numFmtId="0" fontId="5" fillId="3" borderId="0" xfId="0" applyFont="1" applyFill="1"/>
    <xf numFmtId="0" fontId="5" fillId="0" borderId="0" xfId="0" applyFont="1" applyFill="1"/>
    <xf numFmtId="0" fontId="0" fillId="0" borderId="0" xfId="0" applyFill="1"/>
    <xf numFmtId="0" fontId="10" fillId="4" borderId="0" xfId="0" applyFont="1" applyFill="1"/>
    <xf numFmtId="14" fontId="10" fillId="4" borderId="0" xfId="0" applyNumberFormat="1" applyFont="1" applyFill="1"/>
    <xf numFmtId="0" fontId="11" fillId="0" borderId="0" xfId="0" applyFont="1" applyFill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0" fillId="0" borderId="2" xfId="0" applyFont="1" applyBorder="1" applyAlignment="1">
      <alignment horizontal="left" vertical="top" wrapText="1"/>
    </xf>
    <xf numFmtId="0" fontId="12" fillId="0" borderId="16" xfId="0" applyFont="1" applyBorder="1" applyAlignment="1">
      <alignment horizontal="center" vertical="center" textRotation="90"/>
    </xf>
    <xf numFmtId="0" fontId="0" fillId="0" borderId="0" xfId="0" applyFont="1" applyAlignment="1">
      <alignment horizontal="center" vertical="center" textRotation="90"/>
    </xf>
    <xf numFmtId="0" fontId="0" fillId="0" borderId="6" xfId="0" applyFont="1" applyBorder="1" applyAlignment="1">
      <alignment horizontal="center" textRotation="90" wrapText="1"/>
    </xf>
    <xf numFmtId="0" fontId="0" fillId="0" borderId="17" xfId="0" applyFont="1" applyBorder="1" applyAlignment="1">
      <alignment horizontal="center" textRotation="90" wrapText="1"/>
    </xf>
    <xf numFmtId="0" fontId="0" fillId="0" borderId="18" xfId="0" applyFont="1" applyBorder="1" applyAlignment="1">
      <alignment horizontal="center" textRotation="90" wrapText="1"/>
    </xf>
    <xf numFmtId="0" fontId="0" fillId="0" borderId="0" xfId="0" applyFont="1" applyAlignment="1">
      <alignment wrapText="1"/>
    </xf>
    <xf numFmtId="0" fontId="2" fillId="2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0" fontId="1" fillId="0" borderId="2" xfId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7C80"/>
      <color rgb="FFFF5050"/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F5A0-D355-453E-836F-F02372AD282F}">
  <dimension ref="A1:I18"/>
  <sheetViews>
    <sheetView tabSelected="1" zoomScale="80" zoomScaleNormal="80" workbookViewId="0">
      <selection activeCell="B2" sqref="B2:I2"/>
    </sheetView>
  </sheetViews>
  <sheetFormatPr defaultRowHeight="30" customHeight="1" x14ac:dyDescent="0.2"/>
  <cols>
    <col min="1" max="1" width="8.25" style="1" bestFit="1" customWidth="1"/>
    <col min="2" max="2" width="8.125" style="1" customWidth="1"/>
    <col min="3" max="3" width="11.5" style="1" customWidth="1"/>
    <col min="4" max="4" width="35.75" style="1" bestFit="1" customWidth="1"/>
    <col min="5" max="5" width="65.625" style="1" bestFit="1" customWidth="1"/>
    <col min="6" max="6" width="11.75" style="9" bestFit="1" customWidth="1"/>
    <col min="7" max="7" width="12.5" style="1" bestFit="1" customWidth="1"/>
    <col min="8" max="8" width="12" style="1" bestFit="1" customWidth="1"/>
    <col min="9" max="9" width="112" style="40" customWidth="1"/>
    <col min="10" max="16384" width="9" style="1"/>
  </cols>
  <sheetData>
    <row r="1" spans="1:9" ht="30" customHeight="1" x14ac:dyDescent="0.2">
      <c r="A1" s="41" t="s">
        <v>3</v>
      </c>
      <c r="B1" s="41"/>
      <c r="C1" s="41"/>
      <c r="D1" s="41"/>
      <c r="E1" s="41"/>
      <c r="F1" s="41"/>
      <c r="G1" s="41"/>
      <c r="H1" s="41"/>
      <c r="I1" s="41"/>
    </row>
    <row r="2" spans="1:9" ht="30" customHeight="1" x14ac:dyDescent="0.2">
      <c r="A2" s="35" t="s">
        <v>69</v>
      </c>
      <c r="B2" s="42" t="s">
        <v>0</v>
      </c>
      <c r="C2" s="43" t="s">
        <v>1</v>
      </c>
      <c r="D2" s="44" t="s">
        <v>2</v>
      </c>
      <c r="E2" s="44" t="s">
        <v>4</v>
      </c>
      <c r="F2" s="44" t="s">
        <v>5</v>
      </c>
      <c r="G2" s="45" t="s">
        <v>6</v>
      </c>
      <c r="H2" s="44" t="s">
        <v>7</v>
      </c>
      <c r="I2" s="46" t="s">
        <v>8</v>
      </c>
    </row>
    <row r="3" spans="1:9" ht="30" customHeight="1" x14ac:dyDescent="0.2">
      <c r="A3" s="36"/>
      <c r="B3" s="2">
        <v>1</v>
      </c>
      <c r="C3" s="12" t="s">
        <v>9</v>
      </c>
      <c r="D3" s="3" t="s">
        <v>23</v>
      </c>
      <c r="E3" s="3" t="s">
        <v>37</v>
      </c>
      <c r="F3" s="3">
        <v>11</v>
      </c>
      <c r="G3" s="8">
        <f t="shared" ref="G3:G8" si="0" xml:space="preserve"> F3/18493</f>
        <v>5.9481966149353813E-4</v>
      </c>
      <c r="H3" s="3" t="s">
        <v>13</v>
      </c>
      <c r="I3" s="4" t="s">
        <v>34</v>
      </c>
    </row>
    <row r="4" spans="1:9" ht="30" customHeight="1" x14ac:dyDescent="0.2">
      <c r="A4" s="36"/>
      <c r="B4" s="2">
        <v>2</v>
      </c>
      <c r="C4" s="13"/>
      <c r="D4" s="3" t="s">
        <v>23</v>
      </c>
      <c r="E4" s="3" t="s">
        <v>38</v>
      </c>
      <c r="F4" s="3">
        <v>3</v>
      </c>
      <c r="G4" s="8">
        <f t="shared" si="0"/>
        <v>1.622235440436922E-4</v>
      </c>
      <c r="H4" s="3" t="s">
        <v>13</v>
      </c>
      <c r="I4" s="4" t="s">
        <v>33</v>
      </c>
    </row>
    <row r="5" spans="1:9" ht="30" customHeight="1" x14ac:dyDescent="0.2">
      <c r="A5" s="36"/>
      <c r="B5" s="2">
        <v>3</v>
      </c>
      <c r="C5" s="13"/>
      <c r="D5" s="3" t="s">
        <v>10</v>
      </c>
      <c r="E5" s="3" t="s">
        <v>12</v>
      </c>
      <c r="F5" s="3">
        <v>15</v>
      </c>
      <c r="G5" s="8">
        <f t="shared" si="0"/>
        <v>8.1111772021846102E-4</v>
      </c>
      <c r="H5" s="3" t="s">
        <v>13</v>
      </c>
      <c r="I5" s="4" t="s">
        <v>32</v>
      </c>
    </row>
    <row r="6" spans="1:9" ht="30" customHeight="1" x14ac:dyDescent="0.2">
      <c r="A6" s="36"/>
      <c r="B6" s="2">
        <v>4</v>
      </c>
      <c r="C6" s="13"/>
      <c r="D6" s="3" t="s">
        <v>11</v>
      </c>
      <c r="E6" s="3" t="s">
        <v>12</v>
      </c>
      <c r="F6" s="3">
        <v>15</v>
      </c>
      <c r="G6" s="8">
        <f t="shared" si="0"/>
        <v>8.1111772021846102E-4</v>
      </c>
      <c r="H6" s="3" t="s">
        <v>13</v>
      </c>
      <c r="I6" s="4" t="s">
        <v>32</v>
      </c>
    </row>
    <row r="7" spans="1:9" ht="30" customHeight="1" x14ac:dyDescent="0.2">
      <c r="A7" s="36"/>
      <c r="B7" s="2">
        <v>5</v>
      </c>
      <c r="C7" s="13"/>
      <c r="D7" s="3" t="s">
        <v>14</v>
      </c>
      <c r="E7" s="4" t="s">
        <v>24</v>
      </c>
      <c r="F7" s="3">
        <v>3</v>
      </c>
      <c r="G7" s="8">
        <f t="shared" si="0"/>
        <v>1.622235440436922E-4</v>
      </c>
      <c r="H7" s="3" t="s">
        <v>13</v>
      </c>
      <c r="I7" s="4" t="s">
        <v>35</v>
      </c>
    </row>
    <row r="8" spans="1:9" ht="30" customHeight="1" x14ac:dyDescent="0.2">
      <c r="A8" s="36"/>
      <c r="B8" s="2">
        <v>6</v>
      </c>
      <c r="C8" s="13"/>
      <c r="D8" s="3" t="s">
        <v>22</v>
      </c>
      <c r="E8" s="4" t="s">
        <v>25</v>
      </c>
      <c r="F8" s="3">
        <v>3</v>
      </c>
      <c r="G8" s="8">
        <f t="shared" si="0"/>
        <v>1.622235440436922E-4</v>
      </c>
      <c r="H8" s="3" t="s">
        <v>13</v>
      </c>
      <c r="I8" s="4" t="s">
        <v>36</v>
      </c>
    </row>
    <row r="9" spans="1:9" ht="30" customHeight="1" x14ac:dyDescent="0.2">
      <c r="A9" s="36"/>
      <c r="B9" s="5">
        <v>7</v>
      </c>
      <c r="C9" s="14" t="s">
        <v>15</v>
      </c>
      <c r="D9" s="3" t="s">
        <v>16</v>
      </c>
      <c r="E9" s="3" t="s">
        <v>40</v>
      </c>
      <c r="F9" s="3">
        <v>379</v>
      </c>
      <c r="G9" s="8">
        <f xml:space="preserve"> F9/379</f>
        <v>1</v>
      </c>
      <c r="H9" s="3" t="s">
        <v>13</v>
      </c>
      <c r="I9" s="4" t="s">
        <v>39</v>
      </c>
    </row>
    <row r="10" spans="1:9" ht="30" customHeight="1" x14ac:dyDescent="0.2">
      <c r="A10" s="36"/>
      <c r="B10" s="3">
        <v>8</v>
      </c>
      <c r="C10" s="14"/>
      <c r="D10" s="6" t="s">
        <v>16</v>
      </c>
      <c r="E10" s="3" t="s">
        <v>40</v>
      </c>
      <c r="F10" s="3">
        <v>379</v>
      </c>
      <c r="G10" s="8">
        <f xml:space="preserve"> F10/379</f>
        <v>1</v>
      </c>
      <c r="H10" s="3" t="s">
        <v>41</v>
      </c>
      <c r="I10" s="4" t="s">
        <v>28</v>
      </c>
    </row>
    <row r="11" spans="1:9" ht="30" customHeight="1" x14ac:dyDescent="0.2">
      <c r="A11" s="36"/>
      <c r="B11" s="3">
        <v>9</v>
      </c>
      <c r="C11" s="14"/>
      <c r="D11" s="6" t="s">
        <v>17</v>
      </c>
      <c r="E11" s="3" t="s">
        <v>42</v>
      </c>
      <c r="F11" s="3">
        <v>2</v>
      </c>
      <c r="G11" s="8">
        <f xml:space="preserve"> F11/397</f>
        <v>5.0377833753148613E-3</v>
      </c>
      <c r="H11" s="3" t="s">
        <v>13</v>
      </c>
      <c r="I11" s="7" t="s">
        <v>29</v>
      </c>
    </row>
    <row r="12" spans="1:9" ht="30" customHeight="1" x14ac:dyDescent="0.2">
      <c r="A12" s="36"/>
      <c r="B12" s="3">
        <v>10</v>
      </c>
      <c r="C12" s="14"/>
      <c r="D12" s="6" t="s">
        <v>18</v>
      </c>
      <c r="E12" s="4" t="s">
        <v>26</v>
      </c>
      <c r="F12" s="3">
        <v>397</v>
      </c>
      <c r="G12" s="8">
        <f xml:space="preserve"> F12/397</f>
        <v>1</v>
      </c>
      <c r="H12" s="3" t="s">
        <v>13</v>
      </c>
      <c r="I12" s="4" t="s">
        <v>27</v>
      </c>
    </row>
    <row r="13" spans="1:9" ht="30" customHeight="1" x14ac:dyDescent="0.3">
      <c r="A13" s="36"/>
      <c r="B13" s="3">
        <v>11</v>
      </c>
      <c r="C13" s="14"/>
      <c r="D13" s="6" t="s">
        <v>19</v>
      </c>
      <c r="E13" s="3" t="s">
        <v>20</v>
      </c>
      <c r="F13" s="3">
        <v>397</v>
      </c>
      <c r="G13" s="8">
        <f xml:space="preserve"> F13/397</f>
        <v>1</v>
      </c>
      <c r="H13" s="3" t="s">
        <v>13</v>
      </c>
      <c r="I13" s="7" t="s">
        <v>30</v>
      </c>
    </row>
    <row r="14" spans="1:9" ht="30" customHeight="1" x14ac:dyDescent="0.2">
      <c r="A14" s="36"/>
      <c r="B14" s="3">
        <v>12</v>
      </c>
      <c r="C14" s="15"/>
      <c r="D14" s="6" t="s">
        <v>19</v>
      </c>
      <c r="E14" s="3" t="s">
        <v>21</v>
      </c>
      <c r="F14" s="3">
        <v>397</v>
      </c>
      <c r="G14" s="8">
        <f xml:space="preserve"> F14/397</f>
        <v>1</v>
      </c>
      <c r="H14" s="3" t="s">
        <v>13</v>
      </c>
      <c r="I14" s="7" t="s">
        <v>31</v>
      </c>
    </row>
    <row r="15" spans="1:9" ht="30" customHeight="1" x14ac:dyDescent="0.2">
      <c r="A15" s="36"/>
      <c r="B15" s="3">
        <v>13</v>
      </c>
      <c r="C15" s="37" t="s">
        <v>59</v>
      </c>
      <c r="D15" s="3" t="s">
        <v>60</v>
      </c>
      <c r="E15" s="3" t="s">
        <v>61</v>
      </c>
      <c r="F15" s="3" t="s">
        <v>62</v>
      </c>
      <c r="G15" s="8"/>
      <c r="H15" s="3" t="s">
        <v>13</v>
      </c>
      <c r="I15" s="4" t="s">
        <v>63</v>
      </c>
    </row>
    <row r="16" spans="1:9" ht="30" customHeight="1" x14ac:dyDescent="0.2">
      <c r="A16" s="36"/>
      <c r="B16" s="3">
        <v>14</v>
      </c>
      <c r="C16" s="38"/>
      <c r="D16" s="3" t="s">
        <v>60</v>
      </c>
      <c r="E16" s="3" t="s">
        <v>65</v>
      </c>
      <c r="F16" s="3"/>
      <c r="G16" s="8"/>
      <c r="H16" s="3" t="s">
        <v>13</v>
      </c>
      <c r="I16" s="4" t="s">
        <v>64</v>
      </c>
    </row>
    <row r="17" spans="1:9" ht="39.950000000000003" customHeight="1" x14ac:dyDescent="0.2">
      <c r="A17" s="36"/>
      <c r="B17" s="3">
        <v>15</v>
      </c>
      <c r="C17" s="39"/>
      <c r="D17" s="3" t="s">
        <v>66</v>
      </c>
      <c r="E17" s="34" t="s">
        <v>67</v>
      </c>
      <c r="F17" s="3"/>
      <c r="G17" s="8"/>
      <c r="H17" s="3" t="s">
        <v>13</v>
      </c>
      <c r="I17" s="4" t="s">
        <v>68</v>
      </c>
    </row>
    <row r="18" spans="1:9" ht="30" customHeight="1" x14ac:dyDescent="0.2">
      <c r="F18" s="1"/>
      <c r="G18" s="9"/>
    </row>
  </sheetData>
  <mergeCells count="5">
    <mergeCell ref="C3:C8"/>
    <mergeCell ref="C9:C14"/>
    <mergeCell ref="A2:A17"/>
    <mergeCell ref="C15:C17"/>
    <mergeCell ref="A1:I1"/>
  </mergeCells>
  <conditionalFormatting sqref="G3:G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236D-4AAF-4527-BCC5-DD01A478B43C}">
  <dimension ref="B1:R21"/>
  <sheetViews>
    <sheetView zoomScale="112" zoomScaleNormal="112" workbookViewId="0">
      <selection activeCell="B12" sqref="B12:H12"/>
    </sheetView>
  </sheetViews>
  <sheetFormatPr defaultRowHeight="14.25" x14ac:dyDescent="0.2"/>
  <cols>
    <col min="2" max="2" width="5.875" bestFit="1" customWidth="1"/>
    <col min="3" max="3" width="16.25" bestFit="1" customWidth="1"/>
    <col min="4" max="4" width="20.125" bestFit="1" customWidth="1"/>
    <col min="5" max="5" width="8" bestFit="1" customWidth="1"/>
    <col min="6" max="6" width="7.25" bestFit="1" customWidth="1"/>
    <col min="7" max="7" width="10.625" bestFit="1" customWidth="1"/>
    <col min="8" max="8" width="10" bestFit="1" customWidth="1"/>
    <col min="9" max="9" width="26.75" customWidth="1"/>
  </cols>
  <sheetData>
    <row r="1" spans="2:9" ht="15" x14ac:dyDescent="0.25">
      <c r="B1" s="33" t="s">
        <v>43</v>
      </c>
      <c r="C1" s="33" t="s">
        <v>16</v>
      </c>
      <c r="D1" s="33" t="s">
        <v>44</v>
      </c>
      <c r="E1" s="33" t="s">
        <v>17</v>
      </c>
      <c r="F1" s="33" t="s">
        <v>18</v>
      </c>
      <c r="G1" s="33" t="s">
        <v>45</v>
      </c>
      <c r="H1" s="33" t="s">
        <v>46</v>
      </c>
    </row>
    <row r="2" spans="2:9" x14ac:dyDescent="0.2">
      <c r="B2">
        <v>220</v>
      </c>
      <c r="C2" t="s">
        <v>47</v>
      </c>
      <c r="D2" t="s">
        <v>48</v>
      </c>
      <c r="E2">
        <v>12</v>
      </c>
      <c r="F2" t="s">
        <v>49</v>
      </c>
      <c r="G2" s="10">
        <v>40725</v>
      </c>
      <c r="H2" s="10">
        <v>39444</v>
      </c>
    </row>
    <row r="3" spans="2:9" x14ac:dyDescent="0.2">
      <c r="B3">
        <v>221</v>
      </c>
      <c r="C3" t="s">
        <v>47</v>
      </c>
      <c r="D3" t="s">
        <v>48</v>
      </c>
      <c r="E3">
        <v>14</v>
      </c>
      <c r="F3" t="s">
        <v>49</v>
      </c>
      <c r="G3" s="10">
        <v>41091</v>
      </c>
      <c r="H3" s="10">
        <v>39809</v>
      </c>
    </row>
    <row r="4" spans="2:9" x14ac:dyDescent="0.2">
      <c r="B4">
        <v>222</v>
      </c>
      <c r="C4" t="s">
        <v>47</v>
      </c>
      <c r="D4" t="s">
        <v>48</v>
      </c>
      <c r="E4">
        <v>13</v>
      </c>
      <c r="F4" t="s">
        <v>49</v>
      </c>
      <c r="G4" s="10">
        <v>41456</v>
      </c>
      <c r="H4" s="20" t="s">
        <v>50</v>
      </c>
    </row>
    <row r="5" spans="2:9" ht="15" thickBot="1" x14ac:dyDescent="0.25"/>
    <row r="6" spans="2:9" ht="60.75" thickBot="1" x14ac:dyDescent="0.3">
      <c r="B6" s="23" t="s">
        <v>53</v>
      </c>
      <c r="C6" s="24"/>
      <c r="D6" s="24"/>
      <c r="E6" s="24"/>
      <c r="F6" s="24"/>
      <c r="G6" s="24"/>
      <c r="H6" s="25"/>
      <c r="I6" s="32" t="s">
        <v>58</v>
      </c>
    </row>
    <row r="7" spans="2:9" x14ac:dyDescent="0.2">
      <c r="B7">
        <v>223</v>
      </c>
      <c r="C7" t="s">
        <v>51</v>
      </c>
      <c r="D7" t="s">
        <v>52</v>
      </c>
      <c r="E7">
        <v>6</v>
      </c>
      <c r="F7" t="s">
        <v>49</v>
      </c>
      <c r="G7" s="10">
        <v>39444</v>
      </c>
      <c r="H7" s="16">
        <v>40725</v>
      </c>
      <c r="I7" s="11"/>
    </row>
    <row r="8" spans="2:9" x14ac:dyDescent="0.2">
      <c r="B8">
        <v>224</v>
      </c>
      <c r="C8" t="s">
        <v>51</v>
      </c>
      <c r="D8" t="s">
        <v>52</v>
      </c>
      <c r="E8">
        <v>5</v>
      </c>
      <c r="F8" t="s">
        <v>49</v>
      </c>
      <c r="G8" s="16">
        <v>39809</v>
      </c>
      <c r="H8" s="10">
        <v>41091</v>
      </c>
    </row>
    <row r="9" spans="2:9" x14ac:dyDescent="0.2">
      <c r="B9">
        <v>225</v>
      </c>
      <c r="C9" t="s">
        <v>51</v>
      </c>
      <c r="D9" t="s">
        <v>52</v>
      </c>
      <c r="E9">
        <v>7</v>
      </c>
      <c r="F9" t="s">
        <v>49</v>
      </c>
      <c r="G9" s="17" t="s">
        <v>50</v>
      </c>
      <c r="H9" s="10">
        <v>41456</v>
      </c>
    </row>
    <row r="10" spans="2:9" ht="15" thickBot="1" x14ac:dyDescent="0.25">
      <c r="G10" s="18"/>
      <c r="H10" s="10"/>
    </row>
    <row r="11" spans="2:9" ht="15" x14ac:dyDescent="0.25">
      <c r="B11" s="26" t="s">
        <v>54</v>
      </c>
      <c r="C11" s="27"/>
      <c r="D11" s="27"/>
      <c r="E11" s="27"/>
      <c r="F11" s="27"/>
      <c r="G11" s="27"/>
      <c r="H11" s="28"/>
    </row>
    <row r="12" spans="2:9" ht="15" customHeight="1" thickBot="1" x14ac:dyDescent="0.3">
      <c r="B12" s="29" t="s">
        <v>57</v>
      </c>
      <c r="C12" s="30"/>
      <c r="D12" s="30"/>
      <c r="E12" s="30"/>
      <c r="F12" s="30"/>
      <c r="G12" s="30"/>
      <c r="H12" s="31"/>
    </row>
    <row r="13" spans="2:9" x14ac:dyDescent="0.2">
      <c r="B13">
        <v>220</v>
      </c>
      <c r="C13" t="s">
        <v>47</v>
      </c>
      <c r="D13" t="s">
        <v>48</v>
      </c>
      <c r="E13">
        <v>12</v>
      </c>
      <c r="F13" t="s">
        <v>49</v>
      </c>
      <c r="G13" s="10">
        <v>40725</v>
      </c>
      <c r="H13" s="10" t="s">
        <v>55</v>
      </c>
    </row>
    <row r="14" spans="2:9" x14ac:dyDescent="0.2">
      <c r="B14">
        <v>221</v>
      </c>
      <c r="C14" t="s">
        <v>47</v>
      </c>
      <c r="D14" t="s">
        <v>48</v>
      </c>
      <c r="E14">
        <v>14</v>
      </c>
      <c r="F14" t="s">
        <v>49</v>
      </c>
      <c r="G14" s="10">
        <v>41091</v>
      </c>
      <c r="H14" s="21" t="s">
        <v>56</v>
      </c>
    </row>
    <row r="15" spans="2:9" x14ac:dyDescent="0.2">
      <c r="B15">
        <v>222</v>
      </c>
      <c r="C15" t="s">
        <v>47</v>
      </c>
      <c r="D15" t="s">
        <v>48</v>
      </c>
      <c r="E15">
        <v>13</v>
      </c>
      <c r="F15" t="s">
        <v>49</v>
      </c>
      <c r="G15" s="21">
        <v>41456</v>
      </c>
      <c r="H15" s="22" t="s">
        <v>50</v>
      </c>
    </row>
    <row r="18" spans="7:18" x14ac:dyDescent="0.2">
      <c r="G18" s="19"/>
    </row>
    <row r="19" spans="7:18" x14ac:dyDescent="0.2">
      <c r="I19" s="19"/>
      <c r="Q19" s="10"/>
      <c r="R19" s="10"/>
    </row>
    <row r="20" spans="7:18" x14ac:dyDescent="0.2">
      <c r="Q20" s="10"/>
      <c r="R20" s="10"/>
    </row>
    <row r="21" spans="7:18" x14ac:dyDescent="0.2">
      <c r="R21" s="10"/>
    </row>
  </sheetData>
  <mergeCells count="3">
    <mergeCell ref="B6:H6"/>
    <mergeCell ref="B12:H12"/>
    <mergeCell ref="B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change_log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Mashoto Makobe</dc:creator>
  <cp:lastModifiedBy>Mashoto Makobe</cp:lastModifiedBy>
  <dcterms:created xsi:type="dcterms:W3CDTF">2025-11-23T07:58:37Z</dcterms:created>
  <dcterms:modified xsi:type="dcterms:W3CDTF">2025-11-26T08:57:28Z</dcterms:modified>
</cp:coreProperties>
</file>